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0185" windowHeight="7140" activeTab="4"/>
  </bookViews>
  <sheets>
    <sheet name="OCTUBRE" sheetId="5" r:id="rId1"/>
    <sheet name="NOVIEMBRE" sheetId="4" r:id="rId2"/>
    <sheet name="DICIEMBRE" sheetId="3" r:id="rId3"/>
    <sheet name="ENERO" sheetId="2" r:id="rId4"/>
    <sheet name="FEBRERO" sheetId="1" r:id="rId5"/>
    <sheet name="MARZO" sheetId="7" r:id="rId6"/>
    <sheet name="TOTALES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6" l="1"/>
  <c r="E7" i="6"/>
  <c r="E8" i="6"/>
  <c r="E9" i="6"/>
  <c r="E10" i="6"/>
  <c r="D10" i="6"/>
  <c r="D9" i="6"/>
  <c r="D8" i="6"/>
  <c r="D7" i="6"/>
  <c r="D6" i="6"/>
  <c r="F10" i="6"/>
  <c r="F9" i="6"/>
  <c r="F8" i="6"/>
  <c r="F7" i="6"/>
  <c r="F6" i="6"/>
  <c r="F13" i="6" s="1"/>
  <c r="H13" i="6" s="1"/>
  <c r="F25" i="1"/>
  <c r="G25" i="1"/>
  <c r="E25" i="1"/>
  <c r="F25" i="2"/>
  <c r="G25" i="2"/>
  <c r="E25" i="2"/>
  <c r="F29" i="3"/>
  <c r="G29" i="3"/>
  <c r="E29" i="3"/>
  <c r="G30" i="4"/>
  <c r="F30" i="4"/>
  <c r="E30" i="4"/>
  <c r="G34" i="5"/>
  <c r="F34" i="5"/>
  <c r="E34" i="5"/>
  <c r="E13" i="6" l="1"/>
  <c r="D13" i="6"/>
  <c r="D15" i="6" s="1"/>
  <c r="G8" i="5"/>
  <c r="G7" i="5"/>
  <c r="G6" i="5"/>
  <c r="G5" i="5"/>
  <c r="G9" i="5"/>
  <c r="G11" i="5"/>
  <c r="G10" i="5"/>
  <c r="G13" i="5"/>
  <c r="G12" i="5"/>
  <c r="G17" i="5"/>
  <c r="G16" i="5"/>
  <c r="G15" i="5"/>
  <c r="G14" i="5"/>
  <c r="G18" i="5"/>
  <c r="G19" i="5"/>
  <c r="G21" i="5"/>
  <c r="G20" i="5"/>
  <c r="G23" i="5"/>
  <c r="G22" i="5"/>
  <c r="G25" i="5"/>
  <c r="G24" i="5"/>
  <c r="G26" i="5"/>
  <c r="G29" i="5"/>
  <c r="G28" i="5"/>
  <c r="G27" i="5"/>
  <c r="G32" i="5"/>
  <c r="G31" i="5"/>
  <c r="G30" i="5"/>
  <c r="G33" i="5"/>
  <c r="G28" i="4"/>
  <c r="G29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14" i="6" l="1"/>
  <c r="F17" i="6"/>
  <c r="D16" i="6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21" i="2"/>
  <c r="G24" i="2"/>
  <c r="G23" i="2"/>
  <c r="G22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<sst xmlns="http://schemas.openxmlformats.org/spreadsheetml/2006/main" count="169" uniqueCount="36">
  <si>
    <t>FECHA</t>
  </si>
  <si>
    <t>PROVEEDOR</t>
  </si>
  <si>
    <t>FLETE</t>
  </si>
  <si>
    <t>SEGURO</t>
  </si>
  <si>
    <t>BULTOS</t>
  </si>
  <si>
    <t>SCORDINA 02/26</t>
  </si>
  <si>
    <t>CANNON</t>
  </si>
  <si>
    <t>VALOR DECLARADO</t>
  </si>
  <si>
    <t>FRAGANCE</t>
  </si>
  <si>
    <t>1 PALLET</t>
  </si>
  <si>
    <t>SZTERN</t>
  </si>
  <si>
    <t>PURA</t>
  </si>
  <si>
    <t>BLACK SCENTS</t>
  </si>
  <si>
    <t>SAINT JULIEN</t>
  </si>
  <si>
    <t>GESCOM</t>
  </si>
  <si>
    <t>CHIARU</t>
  </si>
  <si>
    <t>DIFFUPAR</t>
  </si>
  <si>
    <t>COMIMPAR</t>
  </si>
  <si>
    <t>9 BULTOS (PALLET/8 BULTOS)</t>
  </si>
  <si>
    <t>SCORDINA 01/26</t>
  </si>
  <si>
    <t>MUYLINDA</t>
  </si>
  <si>
    <t>URBAN FRESH</t>
  </si>
  <si>
    <t>TULY</t>
  </si>
  <si>
    <t>LEF</t>
  </si>
  <si>
    <t>SCORDINA 12/25</t>
  </si>
  <si>
    <t>6 BULTOS (1 PALLET/5 CAJAS)</t>
  </si>
  <si>
    <t>MERCURIO</t>
  </si>
  <si>
    <t>SEBIGUS</t>
  </si>
  <si>
    <t>SCORDINA 11/25</t>
  </si>
  <si>
    <t>BOBBIO</t>
  </si>
  <si>
    <t xml:space="preserve">2 PALLETS </t>
  </si>
  <si>
    <t>SCORDINA 10/25</t>
  </si>
  <si>
    <t xml:space="preserve">TULY MIGUEZ </t>
  </si>
  <si>
    <t>NATALI CRISTIAN</t>
  </si>
  <si>
    <t>PERIODO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</si>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</sst>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0" xfId="0" applyNumberFormat="1"/>
    <xf numFmtId="9" fontId="0" fillId="0" borderId="0" xfId="2" applyFont="1"/>
    <xf numFmtId="10" fontId="0" fillId="0" borderId="0" xfId="2" applyNumberFormat="1" applyFont="1"/>
    <xf numFmtId="44" fontId="0" fillId="0" borderId="1" xfId="0" applyNumberFormat="1" applyBorder="1"/>
    <xf numFmtId="0" fontId="2" fillId="2" borderId="1" xfId="0" applyFont="1" applyFill="1" applyBorder="1"/>
    <xf numFmtId="17" fontId="2" fillId="2" borderId="1" xfId="0" applyNumberFormat="1" applyFont="1" applyFill="1" applyBorder="1"/>
    <xf numFmtId="44" fontId="2" fillId="2" borderId="1" xfId="0" applyNumberFormat="1" applyFont="1" applyFill="1" applyBorder="1"/>
    <xf numFmtId="44" fontId="0" fillId="0" borderId="0" xfId="1" applyFont="1"/>
    <xf numFmtId="0" fontId="0" fillId="0" borderId="1" xfId="0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4"/>
  <sheetViews>
    <sheetView topLeftCell="A6" workbookViewId="0">
      <selection activeCell="E22" sqref="E22"/>
    </sheetView>
  </sheetViews>
  <sheetFormatPr baseColWidth="10" defaultRowHeight="15" x14ac:dyDescent="0.25"/>
  <cols>
    <col min="3" max="3" width="16.140625" bestFit="1" customWidth="1"/>
    <col min="4" max="4" width="25.28515625" bestFit="1" customWidth="1"/>
    <col min="5" max="5" width="17.28515625" bestFit="1" customWidth="1"/>
    <col min="6" max="7" width="12.7109375" bestFit="1" customWidth="1"/>
  </cols>
  <sheetData>
    <row r="3" spans="2:7" x14ac:dyDescent="0.25">
      <c r="B3" s="13" t="s">
        <v>31</v>
      </c>
      <c r="C3" s="13"/>
      <c r="D3" s="13"/>
      <c r="E3" s="13"/>
      <c r="F3" s="13"/>
      <c r="G3" s="13"/>
    </row>
    <row r="4" spans="2:7" x14ac:dyDescent="0.25">
      <c r="B4" s="4" t="s">
        <v>0</v>
      </c>
      <c r="C4" s="4" t="s">
        <v>1</v>
      </c>
      <c r="D4" s="4" t="s">
        <v>4</v>
      </c>
      <c r="E4" s="4" t="s">
        <v>7</v>
      </c>
      <c r="F4" s="4" t="s">
        <v>2</v>
      </c>
      <c r="G4" s="4" t="s">
        <v>3</v>
      </c>
    </row>
    <row r="5" spans="2:7" x14ac:dyDescent="0.25">
      <c r="B5" s="2">
        <v>46296</v>
      </c>
      <c r="C5" s="4" t="s">
        <v>17</v>
      </c>
      <c r="D5" s="4">
        <v>3</v>
      </c>
      <c r="E5" s="3">
        <v>1076944</v>
      </c>
      <c r="F5" s="3">
        <v>9724</v>
      </c>
      <c r="G5" s="3">
        <f t="shared" ref="G5:G33" si="0">+E5*0.007</f>
        <v>7538.6080000000002</v>
      </c>
    </row>
    <row r="6" spans="2:7" x14ac:dyDescent="0.25">
      <c r="B6" s="2">
        <v>46296</v>
      </c>
      <c r="C6" s="4" t="s">
        <v>33</v>
      </c>
      <c r="D6" s="4">
        <v>1</v>
      </c>
      <c r="E6" s="3">
        <v>500000</v>
      </c>
      <c r="F6" s="3">
        <v>6686</v>
      </c>
      <c r="G6" s="3">
        <f t="shared" si="0"/>
        <v>3500</v>
      </c>
    </row>
    <row r="7" spans="2:7" x14ac:dyDescent="0.25">
      <c r="B7" s="2">
        <v>46296</v>
      </c>
      <c r="C7" s="4" t="s">
        <v>6</v>
      </c>
      <c r="D7" s="4">
        <v>27</v>
      </c>
      <c r="E7" s="3">
        <v>11636079</v>
      </c>
      <c r="F7" s="3">
        <v>90390.6</v>
      </c>
      <c r="G7" s="3">
        <f t="shared" si="0"/>
        <v>81452.553</v>
      </c>
    </row>
    <row r="8" spans="2:7" x14ac:dyDescent="0.25">
      <c r="B8" s="2">
        <v>46296</v>
      </c>
      <c r="C8" s="4" t="s">
        <v>23</v>
      </c>
      <c r="D8" s="4">
        <v>8</v>
      </c>
      <c r="E8" s="3">
        <v>534198</v>
      </c>
      <c r="F8" s="3">
        <v>9724</v>
      </c>
      <c r="G8" s="3">
        <f t="shared" si="0"/>
        <v>3739.386</v>
      </c>
    </row>
    <row r="9" spans="2:7" x14ac:dyDescent="0.25">
      <c r="B9" s="2">
        <v>46301</v>
      </c>
      <c r="C9" s="4" t="s">
        <v>8</v>
      </c>
      <c r="D9" s="4">
        <v>15</v>
      </c>
      <c r="E9" s="3">
        <v>6145492</v>
      </c>
      <c r="F9" s="3">
        <v>24250</v>
      </c>
      <c r="G9" s="3">
        <f t="shared" si="0"/>
        <v>43018.444000000003</v>
      </c>
    </row>
    <row r="10" spans="2:7" x14ac:dyDescent="0.25">
      <c r="B10" s="2">
        <v>46303</v>
      </c>
      <c r="C10" s="4" t="s">
        <v>32</v>
      </c>
      <c r="D10" s="4">
        <v>4</v>
      </c>
      <c r="E10" s="3">
        <v>120000</v>
      </c>
      <c r="F10" s="3">
        <v>16372</v>
      </c>
      <c r="G10" s="3">
        <f t="shared" si="0"/>
        <v>840</v>
      </c>
    </row>
    <row r="11" spans="2:7" x14ac:dyDescent="0.25">
      <c r="B11" s="2">
        <v>46303</v>
      </c>
      <c r="C11" s="4" t="s">
        <v>17</v>
      </c>
      <c r="D11" s="4">
        <v>4</v>
      </c>
      <c r="E11" s="3">
        <v>9600000</v>
      </c>
      <c r="F11" s="3">
        <v>8934</v>
      </c>
      <c r="G11" s="3">
        <f t="shared" si="0"/>
        <v>67200</v>
      </c>
    </row>
    <row r="12" spans="2:7" x14ac:dyDescent="0.25">
      <c r="B12" s="2">
        <v>46304</v>
      </c>
      <c r="C12" s="4" t="s">
        <v>15</v>
      </c>
      <c r="D12" s="4">
        <v>7</v>
      </c>
      <c r="E12" s="3">
        <v>1000000</v>
      </c>
      <c r="F12" s="3">
        <v>15316</v>
      </c>
      <c r="G12" s="3">
        <f t="shared" si="0"/>
        <v>7000</v>
      </c>
    </row>
    <row r="13" spans="2:7" x14ac:dyDescent="0.25">
      <c r="B13" s="2">
        <v>46304</v>
      </c>
      <c r="C13" s="4" t="s">
        <v>23</v>
      </c>
      <c r="D13" s="4">
        <v>54</v>
      </c>
      <c r="E13" s="3">
        <v>1915538</v>
      </c>
      <c r="F13" s="3">
        <v>51339</v>
      </c>
      <c r="G13" s="3">
        <f t="shared" si="0"/>
        <v>13408.766</v>
      </c>
    </row>
    <row r="14" spans="2:7" x14ac:dyDescent="0.25">
      <c r="B14" s="2">
        <v>46308</v>
      </c>
      <c r="C14" s="4" t="s">
        <v>21</v>
      </c>
      <c r="D14" s="4">
        <v>16</v>
      </c>
      <c r="E14" s="3">
        <v>495432</v>
      </c>
      <c r="F14" s="3">
        <v>14040</v>
      </c>
      <c r="G14" s="3">
        <f t="shared" si="0"/>
        <v>3468.0239999999999</v>
      </c>
    </row>
    <row r="15" spans="2:7" x14ac:dyDescent="0.25">
      <c r="B15" s="2">
        <v>46308</v>
      </c>
      <c r="C15" s="4" t="s">
        <v>15</v>
      </c>
      <c r="D15" s="4">
        <v>5</v>
      </c>
      <c r="E15" s="3">
        <v>1000000</v>
      </c>
      <c r="F15" s="3">
        <v>10211</v>
      </c>
      <c r="G15" s="3">
        <f t="shared" si="0"/>
        <v>7000</v>
      </c>
    </row>
    <row r="16" spans="2:7" x14ac:dyDescent="0.25">
      <c r="B16" s="2">
        <v>46308</v>
      </c>
      <c r="C16" s="4" t="s">
        <v>8</v>
      </c>
      <c r="D16" s="4">
        <v>14</v>
      </c>
      <c r="E16" s="3">
        <v>4101446</v>
      </c>
      <c r="F16" s="3">
        <v>19145</v>
      </c>
      <c r="G16" s="3">
        <f t="shared" si="0"/>
        <v>28710.121999999999</v>
      </c>
    </row>
    <row r="17" spans="2:7" x14ac:dyDescent="0.25">
      <c r="B17" s="2">
        <v>46308</v>
      </c>
      <c r="C17" s="4" t="s">
        <v>16</v>
      </c>
      <c r="D17" s="4">
        <v>1</v>
      </c>
      <c r="E17" s="3">
        <v>1467000</v>
      </c>
      <c r="F17" s="3">
        <v>7020</v>
      </c>
      <c r="G17" s="3">
        <f t="shared" si="0"/>
        <v>10269</v>
      </c>
    </row>
    <row r="18" spans="2:7" x14ac:dyDescent="0.25">
      <c r="B18" s="2">
        <v>46309</v>
      </c>
      <c r="C18" s="4" t="s">
        <v>13</v>
      </c>
      <c r="D18" s="4">
        <v>8</v>
      </c>
      <c r="E18" s="3">
        <v>1579259</v>
      </c>
      <c r="F18" s="3">
        <v>12763</v>
      </c>
      <c r="G18" s="3">
        <f t="shared" si="0"/>
        <v>11054.813</v>
      </c>
    </row>
    <row r="19" spans="2:7" x14ac:dyDescent="0.25">
      <c r="B19" s="2">
        <v>46310</v>
      </c>
      <c r="C19" s="4" t="s">
        <v>8</v>
      </c>
      <c r="D19" s="4">
        <v>7</v>
      </c>
      <c r="E19" s="3">
        <v>2366967</v>
      </c>
      <c r="F19" s="3">
        <v>11487</v>
      </c>
      <c r="G19" s="3">
        <f t="shared" si="0"/>
        <v>16568.769</v>
      </c>
    </row>
    <row r="20" spans="2:7" x14ac:dyDescent="0.25">
      <c r="B20" s="2">
        <v>46312</v>
      </c>
      <c r="C20" s="4" t="s">
        <v>8</v>
      </c>
      <c r="D20" s="4">
        <v>7</v>
      </c>
      <c r="E20" s="3">
        <v>2591404</v>
      </c>
      <c r="F20" s="3">
        <v>14040</v>
      </c>
      <c r="G20" s="3">
        <f t="shared" si="0"/>
        <v>18139.828000000001</v>
      </c>
    </row>
    <row r="21" spans="2:7" x14ac:dyDescent="0.25">
      <c r="B21" s="2">
        <v>46312</v>
      </c>
      <c r="C21" s="4" t="s">
        <v>11</v>
      </c>
      <c r="D21" s="4">
        <v>2</v>
      </c>
      <c r="E21" s="3">
        <v>906262</v>
      </c>
      <c r="F21" s="3">
        <v>7658</v>
      </c>
      <c r="G21" s="3">
        <f t="shared" si="0"/>
        <v>6343.8339999999998</v>
      </c>
    </row>
    <row r="22" spans="2:7" x14ac:dyDescent="0.25">
      <c r="B22" s="2">
        <v>46315</v>
      </c>
      <c r="C22" s="4" t="s">
        <v>8</v>
      </c>
      <c r="D22" s="4" t="s">
        <v>9</v>
      </c>
      <c r="E22" s="3">
        <v>6860095</v>
      </c>
      <c r="F22" s="3">
        <v>31358.01</v>
      </c>
      <c r="G22" s="3">
        <f t="shared" si="0"/>
        <v>48020.665000000001</v>
      </c>
    </row>
    <row r="23" spans="2:7" x14ac:dyDescent="0.25">
      <c r="B23" s="2">
        <v>46315</v>
      </c>
      <c r="C23" s="4" t="s">
        <v>14</v>
      </c>
      <c r="D23" s="4">
        <v>5</v>
      </c>
      <c r="E23" s="3">
        <v>544421</v>
      </c>
      <c r="F23" s="3">
        <v>11487</v>
      </c>
      <c r="G23" s="3">
        <f t="shared" si="0"/>
        <v>3810.9470000000001</v>
      </c>
    </row>
    <row r="24" spans="2:7" x14ac:dyDescent="0.25">
      <c r="B24" s="2">
        <v>46316</v>
      </c>
      <c r="C24" s="4" t="s">
        <v>17</v>
      </c>
      <c r="D24" s="4">
        <v>3</v>
      </c>
      <c r="E24" s="3">
        <v>1069921</v>
      </c>
      <c r="F24" s="3">
        <v>10211</v>
      </c>
      <c r="G24" s="3">
        <f t="shared" si="0"/>
        <v>7489.4470000000001</v>
      </c>
    </row>
    <row r="25" spans="2:7" x14ac:dyDescent="0.25">
      <c r="B25" s="2">
        <v>46316</v>
      </c>
      <c r="C25" s="4" t="s">
        <v>6</v>
      </c>
      <c r="D25" s="4">
        <v>19</v>
      </c>
      <c r="E25" s="3">
        <v>7642565</v>
      </c>
      <c r="F25" s="3">
        <v>89915.4</v>
      </c>
      <c r="G25" s="3">
        <f t="shared" si="0"/>
        <v>53497.955000000002</v>
      </c>
    </row>
    <row r="26" spans="2:7" x14ac:dyDescent="0.25">
      <c r="B26" s="2">
        <v>46318</v>
      </c>
      <c r="C26" s="4" t="s">
        <v>6</v>
      </c>
      <c r="D26" s="4">
        <v>27</v>
      </c>
      <c r="E26" s="3">
        <v>11541373</v>
      </c>
      <c r="F26" s="3">
        <v>104901.3</v>
      </c>
      <c r="G26" s="3">
        <f t="shared" si="0"/>
        <v>80789.611000000004</v>
      </c>
    </row>
    <row r="27" spans="2:7" x14ac:dyDescent="0.25">
      <c r="B27" s="2">
        <v>46319</v>
      </c>
      <c r="C27" s="4" t="s">
        <v>8</v>
      </c>
      <c r="D27" s="4">
        <v>2</v>
      </c>
      <c r="E27" s="3">
        <v>950826</v>
      </c>
      <c r="F27" s="3">
        <v>8934</v>
      </c>
      <c r="G27" s="3">
        <f t="shared" si="0"/>
        <v>6655.7820000000002</v>
      </c>
    </row>
    <row r="28" spans="2:7" x14ac:dyDescent="0.25">
      <c r="B28" s="2">
        <v>46319</v>
      </c>
      <c r="C28" s="4" t="s">
        <v>32</v>
      </c>
      <c r="D28" s="4">
        <v>2</v>
      </c>
      <c r="E28" s="3">
        <v>85000</v>
      </c>
      <c r="F28" s="3">
        <v>8934</v>
      </c>
      <c r="G28" s="3">
        <f t="shared" si="0"/>
        <v>595</v>
      </c>
    </row>
    <row r="29" spans="2:7" x14ac:dyDescent="0.25">
      <c r="B29" s="2">
        <v>46319</v>
      </c>
      <c r="C29" s="4" t="s">
        <v>15</v>
      </c>
      <c r="D29" s="4">
        <v>3</v>
      </c>
      <c r="E29" s="3">
        <v>1000000</v>
      </c>
      <c r="F29" s="3">
        <v>11487</v>
      </c>
      <c r="G29" s="3">
        <f t="shared" si="0"/>
        <v>7000</v>
      </c>
    </row>
    <row r="30" spans="2:7" x14ac:dyDescent="0.25">
      <c r="B30" s="2">
        <v>46322</v>
      </c>
      <c r="C30" s="4" t="s">
        <v>12</v>
      </c>
      <c r="D30" s="4">
        <v>5</v>
      </c>
      <c r="E30" s="3">
        <v>1080720</v>
      </c>
      <c r="F30" s="3">
        <v>12763</v>
      </c>
      <c r="G30" s="3">
        <f t="shared" si="0"/>
        <v>7565.04</v>
      </c>
    </row>
    <row r="31" spans="2:7" x14ac:dyDescent="0.25">
      <c r="B31" s="2">
        <v>46322</v>
      </c>
      <c r="C31" s="4" t="s">
        <v>8</v>
      </c>
      <c r="D31" s="4" t="s">
        <v>9</v>
      </c>
      <c r="E31" s="3">
        <v>11522460</v>
      </c>
      <c r="F31" s="3">
        <v>59943.6</v>
      </c>
      <c r="G31" s="3">
        <f t="shared" si="0"/>
        <v>80657.22</v>
      </c>
    </row>
    <row r="32" spans="2:7" x14ac:dyDescent="0.25">
      <c r="B32" s="2">
        <v>46322</v>
      </c>
      <c r="C32" s="4" t="s">
        <v>16</v>
      </c>
      <c r="D32" s="4">
        <v>7</v>
      </c>
      <c r="E32" s="3">
        <v>7547690</v>
      </c>
      <c r="F32" s="3">
        <v>17869</v>
      </c>
      <c r="G32" s="3">
        <f t="shared" si="0"/>
        <v>52833.83</v>
      </c>
    </row>
    <row r="33" spans="2:7" x14ac:dyDescent="0.25">
      <c r="B33" s="2">
        <v>46326</v>
      </c>
      <c r="C33" s="4" t="s">
        <v>23</v>
      </c>
      <c r="D33" s="4">
        <v>40</v>
      </c>
      <c r="E33" s="3">
        <v>1358783</v>
      </c>
      <c r="F33" s="3">
        <v>79924.800000000003</v>
      </c>
      <c r="G33" s="3">
        <f t="shared" si="0"/>
        <v>9511.4809999999998</v>
      </c>
    </row>
    <row r="34" spans="2:7" x14ac:dyDescent="0.25">
      <c r="E34" s="5">
        <f>SUM(E5:E33)</f>
        <v>98239875</v>
      </c>
      <c r="F34" s="5">
        <f t="shared" ref="F34:G34" si="1">SUM(F5:F33)</f>
        <v>776827.71000000008</v>
      </c>
      <c r="G34" s="5">
        <f t="shared" si="1"/>
        <v>687679.12499999988</v>
      </c>
    </row>
  </sheetData>
  <sortState ref="B5:G33">
    <sortCondition ref="B5:B33"/>
  </sortState>
  <mergeCells count="1"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0"/>
  <sheetViews>
    <sheetView topLeftCell="A9" workbookViewId="0">
      <selection activeCell="E29" sqref="E29"/>
    </sheetView>
  </sheetViews>
  <sheetFormatPr baseColWidth="10" defaultRowHeight="15" x14ac:dyDescent="0.25"/>
  <cols>
    <col min="3" max="3" width="12.85546875" bestFit="1" customWidth="1"/>
    <col min="4" max="4" width="25.28515625" bestFit="1" customWidth="1"/>
    <col min="5" max="5" width="18.28515625" bestFit="1" customWidth="1"/>
    <col min="6" max="7" width="12.7109375" bestFit="1" customWidth="1"/>
  </cols>
  <sheetData>
    <row r="3" spans="2:7" x14ac:dyDescent="0.25">
      <c r="B3" s="13" t="s">
        <v>28</v>
      </c>
      <c r="C3" s="13"/>
      <c r="D3" s="13"/>
      <c r="E3" s="13"/>
      <c r="F3" s="13"/>
      <c r="G3" s="13"/>
    </row>
    <row r="4" spans="2:7" x14ac:dyDescent="0.25">
      <c r="B4" s="4" t="s">
        <v>0</v>
      </c>
      <c r="C4" s="4" t="s">
        <v>1</v>
      </c>
      <c r="D4" s="4" t="s">
        <v>4</v>
      </c>
      <c r="E4" s="4" t="s">
        <v>7</v>
      </c>
      <c r="F4" s="4" t="s">
        <v>2</v>
      </c>
      <c r="G4" s="4" t="s">
        <v>3</v>
      </c>
    </row>
    <row r="5" spans="2:7" x14ac:dyDescent="0.25">
      <c r="B5" s="2">
        <v>46329</v>
      </c>
      <c r="C5" s="4" t="s">
        <v>20</v>
      </c>
      <c r="D5" s="4">
        <v>1</v>
      </c>
      <c r="E5" s="3">
        <v>350000</v>
      </c>
      <c r="F5" s="3">
        <v>7658</v>
      </c>
      <c r="G5" s="3">
        <f>+E5*0.007</f>
        <v>2450</v>
      </c>
    </row>
    <row r="6" spans="2:7" x14ac:dyDescent="0.25">
      <c r="B6" s="2">
        <v>46329</v>
      </c>
      <c r="C6" s="4" t="s">
        <v>8</v>
      </c>
      <c r="D6" s="4">
        <v>6</v>
      </c>
      <c r="E6" s="3">
        <v>2210427</v>
      </c>
      <c r="F6" s="3">
        <v>10211</v>
      </c>
      <c r="G6" s="3">
        <f>+E6*0.007</f>
        <v>15472.989</v>
      </c>
    </row>
    <row r="7" spans="2:7" x14ac:dyDescent="0.25">
      <c r="B7" s="2">
        <v>46329</v>
      </c>
      <c r="C7" s="4" t="s">
        <v>17</v>
      </c>
      <c r="D7" s="4">
        <v>9</v>
      </c>
      <c r="E7" s="3">
        <v>1104322</v>
      </c>
      <c r="F7" s="3">
        <v>11487</v>
      </c>
      <c r="G7" s="3">
        <f>+E7*0.007</f>
        <v>7730.2539999999999</v>
      </c>
    </row>
    <row r="8" spans="2:7" x14ac:dyDescent="0.25">
      <c r="B8" s="2">
        <v>46333</v>
      </c>
      <c r="C8" s="4" t="s">
        <v>6</v>
      </c>
      <c r="D8" s="4">
        <v>24</v>
      </c>
      <c r="E8" s="3">
        <v>9752959</v>
      </c>
      <c r="F8" s="3">
        <v>104901.3</v>
      </c>
      <c r="G8" s="3">
        <f t="shared" ref="G8:G29" si="0">+E8*0.007</f>
        <v>68270.713000000003</v>
      </c>
    </row>
    <row r="9" spans="2:7" x14ac:dyDescent="0.25">
      <c r="B9" s="2">
        <v>46336</v>
      </c>
      <c r="C9" s="4" t="s">
        <v>8</v>
      </c>
      <c r="D9" s="4">
        <v>6</v>
      </c>
      <c r="E9" s="3">
        <v>23202728</v>
      </c>
      <c r="F9" s="3">
        <v>94910.7</v>
      </c>
      <c r="G9" s="3">
        <f t="shared" si="0"/>
        <v>162419.09599999999</v>
      </c>
    </row>
    <row r="10" spans="2:7" x14ac:dyDescent="0.25">
      <c r="B10" s="2">
        <v>46337</v>
      </c>
      <c r="C10" s="4" t="s">
        <v>8</v>
      </c>
      <c r="D10" s="4" t="s">
        <v>9</v>
      </c>
      <c r="E10" s="3">
        <v>3388810</v>
      </c>
      <c r="F10" s="3">
        <v>49953</v>
      </c>
      <c r="G10" s="3">
        <f t="shared" si="0"/>
        <v>23721.670000000002</v>
      </c>
    </row>
    <row r="11" spans="2:7" x14ac:dyDescent="0.25">
      <c r="B11" s="2">
        <v>46337</v>
      </c>
      <c r="C11" s="4" t="s">
        <v>22</v>
      </c>
      <c r="D11" s="4">
        <v>1</v>
      </c>
      <c r="E11" s="3">
        <v>85000</v>
      </c>
      <c r="F11" s="3">
        <v>7658</v>
      </c>
      <c r="G11" s="3">
        <f t="shared" si="0"/>
        <v>595</v>
      </c>
    </row>
    <row r="12" spans="2:7" x14ac:dyDescent="0.25">
      <c r="B12" s="2">
        <v>46338</v>
      </c>
      <c r="C12" s="4" t="s">
        <v>13</v>
      </c>
      <c r="D12" s="4">
        <v>14</v>
      </c>
      <c r="E12" s="3">
        <v>2757410</v>
      </c>
      <c r="F12" s="3">
        <v>24250</v>
      </c>
      <c r="G12" s="3">
        <f t="shared" si="0"/>
        <v>19301.87</v>
      </c>
    </row>
    <row r="13" spans="2:7" x14ac:dyDescent="0.25">
      <c r="B13" s="2">
        <v>46338</v>
      </c>
      <c r="C13" s="4" t="s">
        <v>11</v>
      </c>
      <c r="D13" s="4">
        <v>2</v>
      </c>
      <c r="E13" s="3">
        <v>844769</v>
      </c>
      <c r="F13" s="3">
        <v>8934</v>
      </c>
      <c r="G13" s="3">
        <f t="shared" si="0"/>
        <v>5913.3829999999998</v>
      </c>
    </row>
    <row r="14" spans="2:7" x14ac:dyDescent="0.25">
      <c r="B14" s="2">
        <v>46338</v>
      </c>
      <c r="C14" s="4" t="s">
        <v>15</v>
      </c>
      <c r="D14" s="4">
        <v>8</v>
      </c>
      <c r="E14" s="3">
        <v>1500000</v>
      </c>
      <c r="F14" s="3">
        <v>16592</v>
      </c>
      <c r="G14" s="3">
        <f t="shared" si="0"/>
        <v>10500</v>
      </c>
    </row>
    <row r="15" spans="2:7" x14ac:dyDescent="0.25">
      <c r="B15" s="2">
        <v>46338</v>
      </c>
      <c r="C15" s="4" t="s">
        <v>8</v>
      </c>
      <c r="D15" s="4" t="s">
        <v>9</v>
      </c>
      <c r="E15" s="3">
        <v>18954913</v>
      </c>
      <c r="F15" s="3">
        <v>49953</v>
      </c>
      <c r="G15" s="3">
        <f t="shared" si="0"/>
        <v>132684.391</v>
      </c>
    </row>
    <row r="16" spans="2:7" x14ac:dyDescent="0.25">
      <c r="B16" s="2">
        <v>46339</v>
      </c>
      <c r="C16" s="4" t="s">
        <v>8</v>
      </c>
      <c r="D16" s="4">
        <v>9</v>
      </c>
      <c r="E16" s="3">
        <v>3299582</v>
      </c>
      <c r="F16" s="3">
        <v>14040</v>
      </c>
      <c r="G16" s="3">
        <f t="shared" si="0"/>
        <v>23097.074000000001</v>
      </c>
    </row>
    <row r="17" spans="2:7" x14ac:dyDescent="0.25">
      <c r="B17" s="2">
        <v>46339</v>
      </c>
      <c r="C17" s="4" t="s">
        <v>23</v>
      </c>
      <c r="D17" s="4">
        <v>127</v>
      </c>
      <c r="E17" s="3">
        <v>8945702</v>
      </c>
      <c r="F17" s="3">
        <v>274741.5</v>
      </c>
      <c r="G17" s="3">
        <f t="shared" si="0"/>
        <v>62619.914000000004</v>
      </c>
    </row>
    <row r="18" spans="2:7" x14ac:dyDescent="0.25">
      <c r="B18" s="2">
        <v>46340</v>
      </c>
      <c r="C18" s="4" t="s">
        <v>29</v>
      </c>
      <c r="D18" s="4">
        <v>3</v>
      </c>
      <c r="E18" s="3">
        <v>572320</v>
      </c>
      <c r="F18" s="3">
        <v>15316</v>
      </c>
      <c r="G18" s="3">
        <f t="shared" si="0"/>
        <v>4006.2400000000002</v>
      </c>
    </row>
    <row r="19" spans="2:7" x14ac:dyDescent="0.25">
      <c r="B19" s="2">
        <v>46343</v>
      </c>
      <c r="C19" s="4" t="s">
        <v>6</v>
      </c>
      <c r="D19" s="4">
        <v>16</v>
      </c>
      <c r="E19" s="3">
        <v>2757983</v>
      </c>
      <c r="F19" s="3">
        <v>19145</v>
      </c>
      <c r="G19" s="3">
        <f t="shared" si="0"/>
        <v>19305.881000000001</v>
      </c>
    </row>
    <row r="20" spans="2:7" x14ac:dyDescent="0.25">
      <c r="B20" s="2">
        <v>46343</v>
      </c>
      <c r="C20" s="4" t="s">
        <v>14</v>
      </c>
      <c r="D20" s="4">
        <v>6</v>
      </c>
      <c r="E20" s="3">
        <v>622335</v>
      </c>
      <c r="F20" s="3">
        <v>14040.01</v>
      </c>
      <c r="G20" s="3">
        <f t="shared" si="0"/>
        <v>4356.3450000000003</v>
      </c>
    </row>
    <row r="21" spans="2:7" x14ac:dyDescent="0.25">
      <c r="B21" s="2">
        <v>46344</v>
      </c>
      <c r="C21" s="4" t="s">
        <v>27</v>
      </c>
      <c r="D21" s="4">
        <v>10</v>
      </c>
      <c r="E21" s="3">
        <v>436128</v>
      </c>
      <c r="F21" s="3">
        <v>89915.4</v>
      </c>
      <c r="G21" s="3">
        <f t="shared" si="0"/>
        <v>3052.8960000000002</v>
      </c>
    </row>
    <row r="22" spans="2:7" x14ac:dyDescent="0.25">
      <c r="B22" s="2">
        <v>46345</v>
      </c>
      <c r="C22" s="4" t="s">
        <v>22</v>
      </c>
      <c r="D22" s="4">
        <v>1</v>
      </c>
      <c r="E22" s="3">
        <v>25000</v>
      </c>
      <c r="F22" s="3">
        <v>7658</v>
      </c>
      <c r="G22" s="3">
        <f t="shared" si="0"/>
        <v>175</v>
      </c>
    </row>
    <row r="23" spans="2:7" x14ac:dyDescent="0.25">
      <c r="B23" s="2">
        <v>46346</v>
      </c>
      <c r="C23" s="4" t="s">
        <v>10</v>
      </c>
      <c r="D23" s="4">
        <v>45</v>
      </c>
      <c r="E23" s="3">
        <v>204807.3</v>
      </c>
      <c r="F23" s="3">
        <v>204807.3</v>
      </c>
      <c r="G23" s="3">
        <f t="shared" si="0"/>
        <v>1433.6511</v>
      </c>
    </row>
    <row r="24" spans="2:7" x14ac:dyDescent="0.25">
      <c r="B24" s="2">
        <v>46351</v>
      </c>
      <c r="C24" s="4" t="s">
        <v>10</v>
      </c>
      <c r="D24" s="4">
        <v>9</v>
      </c>
      <c r="E24" s="3">
        <v>421059</v>
      </c>
      <c r="F24" s="3">
        <v>46344</v>
      </c>
      <c r="G24" s="3">
        <f t="shared" si="0"/>
        <v>2947.413</v>
      </c>
    </row>
    <row r="25" spans="2:7" x14ac:dyDescent="0.25">
      <c r="B25" s="2">
        <v>46351</v>
      </c>
      <c r="C25" s="4" t="s">
        <v>8</v>
      </c>
      <c r="D25" s="4" t="s">
        <v>30</v>
      </c>
      <c r="E25" s="3">
        <v>22143297</v>
      </c>
      <c r="F25" s="3">
        <v>119887.2</v>
      </c>
      <c r="G25" s="3">
        <f t="shared" si="0"/>
        <v>155003.079</v>
      </c>
    </row>
    <row r="26" spans="2:7" x14ac:dyDescent="0.25">
      <c r="B26" s="2">
        <v>46353</v>
      </c>
      <c r="C26" s="4" t="s">
        <v>8</v>
      </c>
      <c r="D26" s="4">
        <v>3</v>
      </c>
      <c r="E26" s="3">
        <v>248171</v>
      </c>
      <c r="F26" s="3">
        <v>7658</v>
      </c>
      <c r="G26" s="3">
        <f t="shared" si="0"/>
        <v>1737.1970000000001</v>
      </c>
    </row>
    <row r="27" spans="2:7" x14ac:dyDescent="0.25">
      <c r="B27" s="2">
        <v>46353</v>
      </c>
      <c r="C27" s="4" t="s">
        <v>26</v>
      </c>
      <c r="D27" s="4">
        <v>1</v>
      </c>
      <c r="E27" s="3">
        <v>20000</v>
      </c>
      <c r="F27" s="3">
        <v>7020</v>
      </c>
      <c r="G27" s="3">
        <f t="shared" si="0"/>
        <v>140</v>
      </c>
    </row>
    <row r="28" spans="2:7" x14ac:dyDescent="0.25">
      <c r="B28" s="2">
        <v>46354</v>
      </c>
      <c r="C28" s="4" t="s">
        <v>14</v>
      </c>
      <c r="D28" s="4">
        <v>5</v>
      </c>
      <c r="E28" s="3">
        <v>593831</v>
      </c>
      <c r="F28" s="3">
        <v>11487</v>
      </c>
      <c r="G28" s="3">
        <f t="shared" si="0"/>
        <v>4156.817</v>
      </c>
    </row>
    <row r="29" spans="2:7" x14ac:dyDescent="0.25">
      <c r="B29" s="2">
        <v>46354</v>
      </c>
      <c r="C29" s="4" t="s">
        <v>6</v>
      </c>
      <c r="D29" s="4">
        <v>34</v>
      </c>
      <c r="E29" s="3">
        <v>14736344</v>
      </c>
      <c r="F29" s="3">
        <v>169840.2</v>
      </c>
      <c r="G29" s="3">
        <f t="shared" si="0"/>
        <v>103154.408</v>
      </c>
    </row>
    <row r="30" spans="2:7" x14ac:dyDescent="0.25">
      <c r="E30" s="5">
        <f>SUM(E5:E29)</f>
        <v>119177897.3</v>
      </c>
      <c r="F30" s="5">
        <f>SUM(F5:F29)</f>
        <v>1388407.6099999999</v>
      </c>
      <c r="G30" s="5">
        <f>SUM(G5:G29)</f>
        <v>834245.28110000002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9"/>
  <sheetViews>
    <sheetView workbookViewId="0">
      <selection activeCell="E29" sqref="E29:G29"/>
    </sheetView>
  </sheetViews>
  <sheetFormatPr baseColWidth="10" defaultRowHeight="15" x14ac:dyDescent="0.25"/>
  <cols>
    <col min="3" max="3" width="12.85546875" bestFit="1" customWidth="1"/>
    <col min="4" max="4" width="25.28515625" bestFit="1" customWidth="1"/>
    <col min="5" max="5" width="17.28515625" bestFit="1" customWidth="1"/>
    <col min="6" max="7" width="12.7109375" bestFit="1" customWidth="1"/>
  </cols>
  <sheetData>
    <row r="3" spans="2:7" x14ac:dyDescent="0.25">
      <c r="B3" s="13" t="s">
        <v>24</v>
      </c>
      <c r="C3" s="13"/>
      <c r="D3" s="13"/>
      <c r="E3" s="13"/>
      <c r="F3" s="13"/>
      <c r="G3" s="13"/>
    </row>
    <row r="4" spans="2:7" x14ac:dyDescent="0.25">
      <c r="B4" s="1" t="s">
        <v>0</v>
      </c>
      <c r="C4" s="1" t="s">
        <v>1</v>
      </c>
      <c r="D4" s="1" t="s">
        <v>4</v>
      </c>
      <c r="E4" s="1" t="s">
        <v>7</v>
      </c>
      <c r="F4" s="1" t="s">
        <v>2</v>
      </c>
      <c r="G4" s="1" t="s">
        <v>3</v>
      </c>
    </row>
    <row r="5" spans="2:7" x14ac:dyDescent="0.25">
      <c r="B5" s="2">
        <v>46357</v>
      </c>
      <c r="C5" s="1" t="s">
        <v>8</v>
      </c>
      <c r="D5" s="1">
        <v>1</v>
      </c>
      <c r="E5" s="3">
        <v>304586</v>
      </c>
      <c r="F5" s="3">
        <v>7020</v>
      </c>
      <c r="G5" s="3">
        <f>+E5*0.007</f>
        <v>2132.1019999999999</v>
      </c>
    </row>
    <row r="6" spans="2:7" x14ac:dyDescent="0.25">
      <c r="B6" s="2">
        <v>46358</v>
      </c>
      <c r="C6" s="1" t="s">
        <v>22</v>
      </c>
      <c r="D6" s="1">
        <v>6</v>
      </c>
      <c r="E6" s="3">
        <v>155000</v>
      </c>
      <c r="F6" s="3">
        <v>16592</v>
      </c>
      <c r="G6" s="3">
        <f>+E6*0.007</f>
        <v>1085</v>
      </c>
    </row>
    <row r="7" spans="2:7" x14ac:dyDescent="0.25">
      <c r="B7" s="2">
        <v>46359</v>
      </c>
      <c r="C7" s="1" t="s">
        <v>23</v>
      </c>
      <c r="D7" s="1">
        <v>45</v>
      </c>
      <c r="E7" s="3">
        <v>1585607</v>
      </c>
      <c r="F7" s="3">
        <v>36353</v>
      </c>
      <c r="G7" s="3">
        <f>+E7*0.007</f>
        <v>11099.249</v>
      </c>
    </row>
    <row r="8" spans="2:7" x14ac:dyDescent="0.25">
      <c r="B8" s="2">
        <v>46360</v>
      </c>
      <c r="C8" s="1" t="s">
        <v>8</v>
      </c>
      <c r="D8" s="1" t="s">
        <v>25</v>
      </c>
      <c r="E8" s="3">
        <v>12050110</v>
      </c>
      <c r="F8" s="3">
        <v>64938.9</v>
      </c>
      <c r="G8" s="3">
        <f t="shared" ref="G8:G28" si="0">+E8*0.007</f>
        <v>84350.77</v>
      </c>
    </row>
    <row r="9" spans="2:7" x14ac:dyDescent="0.25">
      <c r="B9" s="2">
        <v>46361</v>
      </c>
      <c r="C9" s="1" t="s">
        <v>15</v>
      </c>
      <c r="D9" s="1">
        <v>7</v>
      </c>
      <c r="E9" s="3">
        <v>1500000</v>
      </c>
      <c r="F9" s="3">
        <v>16592</v>
      </c>
      <c r="G9" s="3">
        <f t="shared" si="0"/>
        <v>10500</v>
      </c>
    </row>
    <row r="10" spans="2:7" x14ac:dyDescent="0.25">
      <c r="B10" s="2">
        <v>46365</v>
      </c>
      <c r="C10" s="1" t="s">
        <v>23</v>
      </c>
      <c r="D10" s="1">
        <v>18</v>
      </c>
      <c r="E10" s="3">
        <v>1526280</v>
      </c>
      <c r="F10" s="3">
        <v>31358</v>
      </c>
      <c r="G10" s="3">
        <f t="shared" si="0"/>
        <v>10683.960000000001</v>
      </c>
    </row>
    <row r="11" spans="2:7" x14ac:dyDescent="0.25">
      <c r="B11" s="2">
        <v>46367</v>
      </c>
      <c r="C11" s="1" t="s">
        <v>13</v>
      </c>
      <c r="D11" s="1">
        <v>17</v>
      </c>
      <c r="E11" s="3">
        <v>1990029</v>
      </c>
      <c r="F11" s="3">
        <v>46344</v>
      </c>
      <c r="G11" s="3">
        <f t="shared" si="0"/>
        <v>13930.203</v>
      </c>
    </row>
    <row r="12" spans="2:7" x14ac:dyDescent="0.25">
      <c r="B12" s="2">
        <v>46367</v>
      </c>
      <c r="C12" s="1" t="s">
        <v>8</v>
      </c>
      <c r="D12" s="1">
        <v>16</v>
      </c>
      <c r="E12" s="3">
        <v>3875619</v>
      </c>
      <c r="F12" s="3">
        <v>17869</v>
      </c>
      <c r="G12" s="3">
        <f t="shared" si="0"/>
        <v>27129.333000000002</v>
      </c>
    </row>
    <row r="13" spans="2:7" x14ac:dyDescent="0.25">
      <c r="B13" s="2">
        <v>46367</v>
      </c>
      <c r="C13" s="1" t="s">
        <v>6</v>
      </c>
      <c r="D13" s="1">
        <v>23</v>
      </c>
      <c r="E13" s="3">
        <v>9651723</v>
      </c>
      <c r="F13" s="3">
        <v>51053</v>
      </c>
      <c r="G13" s="3">
        <f t="shared" si="0"/>
        <v>67562.061000000002</v>
      </c>
    </row>
    <row r="14" spans="2:7" x14ac:dyDescent="0.25">
      <c r="B14" s="2">
        <v>46367</v>
      </c>
      <c r="C14" s="1" t="s">
        <v>10</v>
      </c>
      <c r="D14" s="1">
        <v>12</v>
      </c>
      <c r="E14" s="3">
        <v>176980</v>
      </c>
      <c r="F14" s="3">
        <v>64938.9</v>
      </c>
      <c r="G14" s="3">
        <f t="shared" si="0"/>
        <v>1238.8600000000001</v>
      </c>
    </row>
    <row r="15" spans="2:7" x14ac:dyDescent="0.25">
      <c r="B15" s="2">
        <v>46367</v>
      </c>
      <c r="C15" s="1" t="s">
        <v>22</v>
      </c>
      <c r="D15" s="1">
        <v>4</v>
      </c>
      <c r="E15" s="3">
        <v>180000</v>
      </c>
      <c r="F15" s="3">
        <v>14040</v>
      </c>
      <c r="G15" s="3">
        <f t="shared" si="0"/>
        <v>1260</v>
      </c>
    </row>
    <row r="16" spans="2:7" x14ac:dyDescent="0.25">
      <c r="B16" s="2">
        <v>46064</v>
      </c>
      <c r="C16" s="1" t="s">
        <v>17</v>
      </c>
      <c r="D16" s="1">
        <v>4</v>
      </c>
      <c r="E16" s="3">
        <v>1070284</v>
      </c>
      <c r="F16" s="3">
        <v>10211</v>
      </c>
      <c r="G16" s="3">
        <f t="shared" si="0"/>
        <v>7491.9880000000003</v>
      </c>
    </row>
    <row r="17" spans="2:7" x14ac:dyDescent="0.25">
      <c r="B17" s="2">
        <v>46368</v>
      </c>
      <c r="C17" s="1" t="s">
        <v>8</v>
      </c>
      <c r="D17" s="1">
        <v>11</v>
      </c>
      <c r="E17" s="3">
        <v>4418012</v>
      </c>
      <c r="F17" s="3">
        <v>17869</v>
      </c>
      <c r="G17" s="3">
        <f t="shared" si="0"/>
        <v>30926.083999999999</v>
      </c>
    </row>
    <row r="18" spans="2:7" x14ac:dyDescent="0.25">
      <c r="B18" s="2">
        <v>46368</v>
      </c>
      <c r="C18" s="1" t="s">
        <v>22</v>
      </c>
      <c r="D18" s="1">
        <v>5</v>
      </c>
      <c r="E18" s="3">
        <v>195000</v>
      </c>
      <c r="F18" s="3">
        <v>16592</v>
      </c>
      <c r="G18" s="3">
        <f t="shared" si="0"/>
        <v>1365</v>
      </c>
    </row>
    <row r="19" spans="2:7" x14ac:dyDescent="0.25">
      <c r="B19" s="2">
        <v>46371</v>
      </c>
      <c r="C19" s="1" t="s">
        <v>16</v>
      </c>
      <c r="D19" s="1">
        <v>18</v>
      </c>
      <c r="E19" s="3">
        <v>15693708</v>
      </c>
      <c r="F19" s="3">
        <v>49125</v>
      </c>
      <c r="G19" s="3">
        <f t="shared" si="0"/>
        <v>109855.95600000001</v>
      </c>
    </row>
    <row r="20" spans="2:7" x14ac:dyDescent="0.25">
      <c r="B20" s="2">
        <v>46371</v>
      </c>
      <c r="C20" s="1" t="s">
        <v>22</v>
      </c>
      <c r="D20" s="1">
        <v>2</v>
      </c>
      <c r="E20" s="3">
        <v>85000</v>
      </c>
      <c r="F20" s="3">
        <v>9470</v>
      </c>
      <c r="G20" s="3">
        <f t="shared" si="0"/>
        <v>595</v>
      </c>
    </row>
    <row r="21" spans="2:7" x14ac:dyDescent="0.25">
      <c r="B21" s="2">
        <v>46371</v>
      </c>
      <c r="C21" s="1" t="s">
        <v>8</v>
      </c>
      <c r="D21" s="1" t="s">
        <v>9</v>
      </c>
      <c r="E21" s="3">
        <v>4321694</v>
      </c>
      <c r="F21" s="3">
        <v>52950</v>
      </c>
      <c r="G21" s="3">
        <f t="shared" si="0"/>
        <v>30251.858</v>
      </c>
    </row>
    <row r="22" spans="2:7" x14ac:dyDescent="0.25">
      <c r="B22" s="2">
        <v>46068</v>
      </c>
      <c r="C22" s="1" t="s">
        <v>26</v>
      </c>
      <c r="D22" s="1">
        <v>1</v>
      </c>
      <c r="E22" s="3">
        <v>1650000</v>
      </c>
      <c r="F22" s="3">
        <v>9470</v>
      </c>
      <c r="G22" s="3">
        <f t="shared" si="0"/>
        <v>11550</v>
      </c>
    </row>
    <row r="23" spans="2:7" x14ac:dyDescent="0.25">
      <c r="B23" s="2">
        <v>46373</v>
      </c>
      <c r="C23" s="1" t="s">
        <v>16</v>
      </c>
      <c r="D23" s="1">
        <v>6</v>
      </c>
      <c r="E23" s="3">
        <v>5776041</v>
      </c>
      <c r="F23" s="3">
        <v>14882</v>
      </c>
      <c r="G23" s="3">
        <f t="shared" si="0"/>
        <v>40432.287000000004</v>
      </c>
    </row>
    <row r="24" spans="2:7" x14ac:dyDescent="0.25">
      <c r="B24" s="2">
        <v>46375</v>
      </c>
      <c r="C24" s="1" t="s">
        <v>16</v>
      </c>
      <c r="D24" s="1">
        <v>3</v>
      </c>
      <c r="E24" s="3">
        <v>1783458</v>
      </c>
      <c r="F24" s="3">
        <v>14882</v>
      </c>
      <c r="G24" s="3">
        <f t="shared" si="0"/>
        <v>12484.206</v>
      </c>
    </row>
    <row r="25" spans="2:7" x14ac:dyDescent="0.25">
      <c r="B25" s="2">
        <v>46378</v>
      </c>
      <c r="C25" s="1" t="s">
        <v>22</v>
      </c>
      <c r="D25" s="1">
        <v>1</v>
      </c>
      <c r="E25" s="3">
        <v>120000</v>
      </c>
      <c r="F25" s="3">
        <v>9470</v>
      </c>
      <c r="G25" s="3">
        <f t="shared" si="0"/>
        <v>840</v>
      </c>
    </row>
    <row r="26" spans="2:7" x14ac:dyDescent="0.25">
      <c r="B26" s="2">
        <v>46378</v>
      </c>
      <c r="C26" s="1" t="s">
        <v>6</v>
      </c>
      <c r="D26" s="1">
        <v>28</v>
      </c>
      <c r="E26" s="3">
        <v>10997861</v>
      </c>
      <c r="F26" s="3">
        <v>74410</v>
      </c>
      <c r="G26" s="3">
        <f t="shared" si="0"/>
        <v>76985.027000000002</v>
      </c>
    </row>
    <row r="27" spans="2:7" x14ac:dyDescent="0.25">
      <c r="B27" s="2">
        <v>46379</v>
      </c>
      <c r="C27" s="1" t="s">
        <v>6</v>
      </c>
      <c r="D27" s="1">
        <v>17</v>
      </c>
      <c r="E27" s="3">
        <v>6836311</v>
      </c>
      <c r="F27" s="3">
        <v>40587</v>
      </c>
      <c r="G27" s="3">
        <f t="shared" si="0"/>
        <v>47854.177000000003</v>
      </c>
    </row>
    <row r="28" spans="2:7" x14ac:dyDescent="0.25">
      <c r="B28" s="2">
        <v>46386</v>
      </c>
      <c r="C28" s="1" t="s">
        <v>27</v>
      </c>
      <c r="D28" s="1">
        <v>3</v>
      </c>
      <c r="E28" s="3">
        <v>122655</v>
      </c>
      <c r="F28" s="3">
        <v>27945</v>
      </c>
      <c r="G28" s="3">
        <f t="shared" si="0"/>
        <v>858.58500000000004</v>
      </c>
    </row>
    <row r="29" spans="2:7" x14ac:dyDescent="0.25">
      <c r="E29" s="5">
        <f>SUM(E5:E28)</f>
        <v>86065958</v>
      </c>
      <c r="F29" s="5">
        <f t="shared" ref="F29:G29" si="1">SUM(F5:F28)</f>
        <v>714961.8</v>
      </c>
      <c r="G29" s="5">
        <f t="shared" si="1"/>
        <v>602461.70600000001</v>
      </c>
    </row>
  </sheetData>
  <mergeCells count="1"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5"/>
  <sheetViews>
    <sheetView topLeftCell="A2" workbookViewId="0">
      <selection activeCell="E25" sqref="E25:G25"/>
    </sheetView>
  </sheetViews>
  <sheetFormatPr baseColWidth="10" defaultRowHeight="15" x14ac:dyDescent="0.25"/>
  <cols>
    <col min="3" max="3" width="12.85546875" bestFit="1" customWidth="1"/>
    <col min="4" max="4" width="7.5703125" bestFit="1" customWidth="1"/>
    <col min="5" max="5" width="17.28515625" bestFit="1" customWidth="1"/>
    <col min="6" max="7" width="12.7109375" bestFit="1" customWidth="1"/>
  </cols>
  <sheetData>
    <row r="3" spans="2:7" x14ac:dyDescent="0.25">
      <c r="B3" s="13" t="s">
        <v>19</v>
      </c>
      <c r="C3" s="13"/>
      <c r="D3" s="13"/>
      <c r="E3" s="13"/>
      <c r="F3" s="13"/>
      <c r="G3" s="13"/>
    </row>
    <row r="4" spans="2:7" x14ac:dyDescent="0.25">
      <c r="B4" s="1" t="s">
        <v>0</v>
      </c>
      <c r="C4" s="1" t="s">
        <v>1</v>
      </c>
      <c r="D4" s="1" t="s">
        <v>4</v>
      </c>
      <c r="E4" s="1" t="s">
        <v>7</v>
      </c>
      <c r="F4" s="1" t="s">
        <v>2</v>
      </c>
      <c r="G4" s="1" t="s">
        <v>3</v>
      </c>
    </row>
    <row r="5" spans="2:7" x14ac:dyDescent="0.25">
      <c r="B5" s="2">
        <v>46029</v>
      </c>
      <c r="C5" s="1" t="s">
        <v>14</v>
      </c>
      <c r="D5" s="1">
        <v>3</v>
      </c>
      <c r="E5" s="3">
        <v>337302</v>
      </c>
      <c r="F5" s="3">
        <v>9470</v>
      </c>
      <c r="G5" s="3">
        <f>+E5*0.007</f>
        <v>2361.114</v>
      </c>
    </row>
    <row r="6" spans="2:7" x14ac:dyDescent="0.25">
      <c r="B6" s="2">
        <v>46030</v>
      </c>
      <c r="C6" s="1" t="s">
        <v>11</v>
      </c>
      <c r="D6" s="1">
        <v>1</v>
      </c>
      <c r="E6" s="3">
        <v>560450</v>
      </c>
      <c r="F6" s="3">
        <v>8117</v>
      </c>
      <c r="G6" s="3">
        <f>+E6*0.007</f>
        <v>3923.15</v>
      </c>
    </row>
    <row r="7" spans="2:7" x14ac:dyDescent="0.25">
      <c r="B7" s="2">
        <v>46031</v>
      </c>
      <c r="C7" s="1" t="s">
        <v>20</v>
      </c>
      <c r="D7" s="1">
        <v>1</v>
      </c>
      <c r="E7" s="3">
        <v>200000</v>
      </c>
      <c r="F7" s="3">
        <v>8117</v>
      </c>
      <c r="G7" s="3">
        <f>+E7*0.007</f>
        <v>1400</v>
      </c>
    </row>
    <row r="8" spans="2:7" x14ac:dyDescent="0.25">
      <c r="B8" s="2">
        <v>46031</v>
      </c>
      <c r="C8" s="1" t="s">
        <v>21</v>
      </c>
      <c r="D8" s="1">
        <v>6</v>
      </c>
      <c r="E8" s="3">
        <v>351949</v>
      </c>
      <c r="F8" s="3">
        <v>22650</v>
      </c>
      <c r="G8" s="3">
        <f t="shared" ref="G8:G24" si="0">+E8*0.007</f>
        <v>2463.643</v>
      </c>
    </row>
    <row r="9" spans="2:7" x14ac:dyDescent="0.25">
      <c r="B9" s="2">
        <v>46037</v>
      </c>
      <c r="C9" s="1" t="s">
        <v>8</v>
      </c>
      <c r="D9" s="1">
        <v>2</v>
      </c>
      <c r="E9" s="3">
        <v>558140</v>
      </c>
      <c r="F9" s="3">
        <v>8117</v>
      </c>
      <c r="G9" s="3">
        <f t="shared" si="0"/>
        <v>3906.98</v>
      </c>
    </row>
    <row r="10" spans="2:7" x14ac:dyDescent="0.25">
      <c r="B10" s="2">
        <v>46038</v>
      </c>
      <c r="C10" s="1" t="s">
        <v>15</v>
      </c>
      <c r="D10" s="1">
        <v>5</v>
      </c>
      <c r="E10" s="3">
        <v>1500000</v>
      </c>
      <c r="F10" s="3">
        <v>33240</v>
      </c>
      <c r="G10" s="3">
        <f t="shared" si="0"/>
        <v>10500</v>
      </c>
    </row>
    <row r="11" spans="2:7" x14ac:dyDescent="0.25">
      <c r="B11" s="2">
        <v>46043</v>
      </c>
      <c r="C11" s="1" t="s">
        <v>22</v>
      </c>
      <c r="D11" s="1">
        <v>2</v>
      </c>
      <c r="E11" s="3">
        <v>110000</v>
      </c>
      <c r="F11" s="3">
        <v>10823</v>
      </c>
      <c r="G11" s="3">
        <f t="shared" si="0"/>
        <v>770</v>
      </c>
    </row>
    <row r="12" spans="2:7" x14ac:dyDescent="0.25">
      <c r="B12" s="2">
        <v>46044</v>
      </c>
      <c r="C12" s="1" t="s">
        <v>8</v>
      </c>
      <c r="D12" s="1">
        <v>5</v>
      </c>
      <c r="E12" s="3">
        <v>177928</v>
      </c>
      <c r="F12" s="3">
        <v>12176</v>
      </c>
      <c r="G12" s="3">
        <f t="shared" si="0"/>
        <v>1245.4960000000001</v>
      </c>
    </row>
    <row r="13" spans="2:7" x14ac:dyDescent="0.25">
      <c r="B13" s="2">
        <v>46044</v>
      </c>
      <c r="C13" s="1" t="s">
        <v>6</v>
      </c>
      <c r="D13" s="1">
        <v>30</v>
      </c>
      <c r="E13" s="3">
        <v>14048340</v>
      </c>
      <c r="F13" s="3">
        <v>116490</v>
      </c>
      <c r="G13" s="3">
        <f t="shared" si="0"/>
        <v>98338.38</v>
      </c>
    </row>
    <row r="14" spans="2:7" x14ac:dyDescent="0.25">
      <c r="B14" s="2">
        <v>46045</v>
      </c>
      <c r="C14" s="1" t="s">
        <v>6</v>
      </c>
      <c r="D14" s="1">
        <v>36</v>
      </c>
      <c r="E14" s="3">
        <v>4229069</v>
      </c>
      <c r="F14" s="3">
        <v>153555</v>
      </c>
      <c r="G14" s="3">
        <f t="shared" si="0"/>
        <v>29603.483</v>
      </c>
    </row>
    <row r="15" spans="2:7" x14ac:dyDescent="0.25">
      <c r="B15" s="2">
        <v>46045</v>
      </c>
      <c r="C15" s="1" t="s">
        <v>8</v>
      </c>
      <c r="D15" s="1">
        <v>2</v>
      </c>
      <c r="E15" s="3">
        <v>1095867</v>
      </c>
      <c r="F15" s="3">
        <v>8117</v>
      </c>
      <c r="G15" s="3">
        <f t="shared" si="0"/>
        <v>7671.0690000000004</v>
      </c>
    </row>
    <row r="16" spans="2:7" x14ac:dyDescent="0.25">
      <c r="B16" s="2">
        <v>46048</v>
      </c>
      <c r="C16" s="1" t="s">
        <v>23</v>
      </c>
      <c r="D16" s="1">
        <v>87</v>
      </c>
      <c r="E16" s="3">
        <v>2736536</v>
      </c>
      <c r="F16" s="3">
        <v>68413.41</v>
      </c>
      <c r="G16" s="3">
        <f t="shared" si="0"/>
        <v>19155.752</v>
      </c>
    </row>
    <row r="17" spans="2:7" x14ac:dyDescent="0.25">
      <c r="B17" s="2">
        <v>46048</v>
      </c>
      <c r="C17" s="1" t="s">
        <v>23</v>
      </c>
      <c r="D17" s="1">
        <v>74</v>
      </c>
      <c r="E17" s="3">
        <v>2661254</v>
      </c>
      <c r="F17" s="3">
        <v>43830</v>
      </c>
      <c r="G17" s="3">
        <f t="shared" si="0"/>
        <v>18628.778000000002</v>
      </c>
    </row>
    <row r="18" spans="2:7" x14ac:dyDescent="0.25">
      <c r="B18" s="2">
        <v>46048</v>
      </c>
      <c r="C18" s="1" t="s">
        <v>13</v>
      </c>
      <c r="D18" s="1">
        <v>7</v>
      </c>
      <c r="E18" s="3">
        <v>850359</v>
      </c>
      <c r="F18" s="3">
        <v>12176</v>
      </c>
      <c r="G18" s="3">
        <f t="shared" si="0"/>
        <v>5952.5129999999999</v>
      </c>
    </row>
    <row r="19" spans="2:7" x14ac:dyDescent="0.25">
      <c r="B19" s="2">
        <v>46048</v>
      </c>
      <c r="C19" s="1" t="s">
        <v>8</v>
      </c>
      <c r="D19" s="1">
        <v>6</v>
      </c>
      <c r="E19" s="3">
        <v>1519441</v>
      </c>
      <c r="F19" s="3">
        <v>13529</v>
      </c>
      <c r="G19" s="3">
        <f t="shared" si="0"/>
        <v>10636.087</v>
      </c>
    </row>
    <row r="20" spans="2:7" x14ac:dyDescent="0.25">
      <c r="B20" s="2">
        <v>46048</v>
      </c>
      <c r="C20" s="1" t="s">
        <v>22</v>
      </c>
      <c r="D20" s="1">
        <v>2</v>
      </c>
      <c r="E20" s="3">
        <v>95000</v>
      </c>
      <c r="F20" s="3">
        <v>17355</v>
      </c>
      <c r="G20" s="3">
        <f t="shared" si="0"/>
        <v>665</v>
      </c>
    </row>
    <row r="21" spans="2:7" x14ac:dyDescent="0.25">
      <c r="B21" s="2">
        <v>46048</v>
      </c>
      <c r="C21" s="1" t="s">
        <v>6</v>
      </c>
      <c r="D21" s="1">
        <v>36</v>
      </c>
      <c r="E21" s="3">
        <v>14291689</v>
      </c>
      <c r="F21" s="3">
        <v>153555</v>
      </c>
      <c r="G21" s="3">
        <f t="shared" si="0"/>
        <v>100041.823</v>
      </c>
    </row>
    <row r="22" spans="2:7" x14ac:dyDescent="0.25">
      <c r="B22" s="2">
        <v>46049</v>
      </c>
      <c r="C22" s="1" t="s">
        <v>8</v>
      </c>
      <c r="D22" s="1">
        <v>2</v>
      </c>
      <c r="E22" s="3">
        <v>1246282</v>
      </c>
      <c r="F22" s="3">
        <v>9470</v>
      </c>
      <c r="G22" s="3">
        <f t="shared" si="0"/>
        <v>8723.9740000000002</v>
      </c>
    </row>
    <row r="23" spans="2:7" x14ac:dyDescent="0.25">
      <c r="B23" s="2">
        <v>46050</v>
      </c>
      <c r="C23" s="1" t="s">
        <v>8</v>
      </c>
      <c r="D23" s="1">
        <v>1</v>
      </c>
      <c r="E23" s="3">
        <v>709090</v>
      </c>
      <c r="F23" s="3">
        <v>7441</v>
      </c>
      <c r="G23" s="3">
        <f t="shared" si="0"/>
        <v>4963.63</v>
      </c>
    </row>
    <row r="24" spans="2:7" x14ac:dyDescent="0.25">
      <c r="B24" s="2">
        <v>46050</v>
      </c>
      <c r="C24" s="1" t="s">
        <v>17</v>
      </c>
      <c r="D24" s="1">
        <v>2</v>
      </c>
      <c r="E24" s="3">
        <v>814481</v>
      </c>
      <c r="F24" s="3">
        <v>8117</v>
      </c>
      <c r="G24" s="3">
        <f t="shared" si="0"/>
        <v>5701.3670000000002</v>
      </c>
    </row>
    <row r="25" spans="2:7" x14ac:dyDescent="0.25">
      <c r="E25" s="5">
        <f>SUM(E5:E24)</f>
        <v>48093177</v>
      </c>
      <c r="F25" s="5">
        <f t="shared" ref="F25:G25" si="1">SUM(F5:F24)</f>
        <v>724758.41</v>
      </c>
      <c r="G25" s="5">
        <f t="shared" si="1"/>
        <v>336652.23900000006</v>
      </c>
    </row>
  </sheetData>
  <mergeCells count="1">
    <mergeCell ref="B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5"/>
  <sheetViews>
    <sheetView tabSelected="1" workbookViewId="0">
      <selection activeCell="H21" sqref="H21"/>
    </sheetView>
  </sheetViews>
  <sheetFormatPr baseColWidth="10" defaultRowHeight="15" x14ac:dyDescent="0.25"/>
  <cols>
    <col min="3" max="3" width="12.85546875" bestFit="1" customWidth="1"/>
    <col min="4" max="4" width="25.42578125" bestFit="1" customWidth="1"/>
    <col min="5" max="5" width="17.28515625" bestFit="1" customWidth="1"/>
    <col min="6" max="7" width="12.7109375" bestFit="1" customWidth="1"/>
  </cols>
  <sheetData>
    <row r="3" spans="2:7" x14ac:dyDescent="0.25">
      <c r="B3" s="13" t="s">
        <v>5</v>
      </c>
      <c r="C3" s="13"/>
      <c r="D3" s="13"/>
      <c r="E3" s="13"/>
      <c r="F3" s="13"/>
      <c r="G3" s="13"/>
    </row>
    <row r="4" spans="2:7" x14ac:dyDescent="0.25">
      <c r="B4" s="1" t="s">
        <v>0</v>
      </c>
      <c r="C4" s="1" t="s">
        <v>1</v>
      </c>
      <c r="D4" s="1" t="s">
        <v>4</v>
      </c>
      <c r="E4" s="1" t="s">
        <v>7</v>
      </c>
      <c r="F4" s="1" t="s">
        <v>2</v>
      </c>
      <c r="G4" s="1" t="s">
        <v>3</v>
      </c>
    </row>
    <row r="5" spans="2:7" x14ac:dyDescent="0.25">
      <c r="B5" s="2">
        <v>46055</v>
      </c>
      <c r="C5" s="1" t="s">
        <v>6</v>
      </c>
      <c r="D5" s="1">
        <v>24</v>
      </c>
      <c r="E5" s="3">
        <v>2819379</v>
      </c>
      <c r="F5" s="3">
        <v>84720</v>
      </c>
      <c r="G5" s="3">
        <f>+E5*0.007</f>
        <v>19735.653000000002</v>
      </c>
    </row>
    <row r="6" spans="2:7" x14ac:dyDescent="0.25">
      <c r="B6" s="2">
        <v>46055</v>
      </c>
      <c r="C6" s="1" t="s">
        <v>8</v>
      </c>
      <c r="D6" s="1" t="s">
        <v>9</v>
      </c>
      <c r="E6" s="3">
        <v>5057010</v>
      </c>
      <c r="F6" s="3">
        <v>52950</v>
      </c>
      <c r="G6" s="3">
        <f>+E6*0.007</f>
        <v>35399.07</v>
      </c>
    </row>
    <row r="7" spans="2:7" x14ac:dyDescent="0.25">
      <c r="B7" s="2">
        <v>46056</v>
      </c>
      <c r="C7" s="1" t="s">
        <v>8</v>
      </c>
      <c r="D7" s="1" t="s">
        <v>9</v>
      </c>
      <c r="E7" s="3">
        <v>15097976</v>
      </c>
      <c r="F7" s="3">
        <v>49125</v>
      </c>
      <c r="G7" s="3">
        <f>+E7*0.007</f>
        <v>105685.83200000001</v>
      </c>
    </row>
    <row r="8" spans="2:7" x14ac:dyDescent="0.25">
      <c r="B8" s="2">
        <v>46059</v>
      </c>
      <c r="C8" s="1" t="s">
        <v>6</v>
      </c>
      <c r="D8" s="1">
        <v>55</v>
      </c>
      <c r="E8" s="3">
        <v>16146823</v>
      </c>
      <c r="F8" s="3">
        <v>107557</v>
      </c>
      <c r="G8" s="3">
        <f t="shared" ref="G8:G24" si="0">+E8*0.007</f>
        <v>113027.761</v>
      </c>
    </row>
    <row r="9" spans="2:7" x14ac:dyDescent="0.25">
      <c r="B9" s="2">
        <v>46059</v>
      </c>
      <c r="C9" s="1" t="s">
        <v>10</v>
      </c>
      <c r="D9" s="1">
        <v>7</v>
      </c>
      <c r="E9" s="3">
        <v>160066</v>
      </c>
      <c r="F9" s="3">
        <v>14341</v>
      </c>
      <c r="G9" s="3">
        <f t="shared" si="0"/>
        <v>1120.462</v>
      </c>
    </row>
    <row r="10" spans="2:7" x14ac:dyDescent="0.25">
      <c r="B10" s="2">
        <v>46062</v>
      </c>
      <c r="C10" s="1" t="s">
        <v>11</v>
      </c>
      <c r="D10" s="1">
        <v>1</v>
      </c>
      <c r="E10" s="3">
        <v>732984</v>
      </c>
      <c r="F10" s="3">
        <v>7887</v>
      </c>
      <c r="G10" s="3">
        <f t="shared" si="0"/>
        <v>5130.8879999999999</v>
      </c>
    </row>
    <row r="11" spans="2:7" x14ac:dyDescent="0.25">
      <c r="B11" s="2">
        <v>46062</v>
      </c>
      <c r="C11" s="1" t="s">
        <v>8</v>
      </c>
      <c r="D11" s="1">
        <v>1</v>
      </c>
      <c r="E11" s="3">
        <v>430611</v>
      </c>
      <c r="F11" s="3">
        <v>7887</v>
      </c>
      <c r="G11" s="3">
        <f t="shared" si="0"/>
        <v>3014.277</v>
      </c>
    </row>
    <row r="12" spans="2:7" x14ac:dyDescent="0.25">
      <c r="B12" s="2">
        <v>46063</v>
      </c>
      <c r="C12" s="1" t="s">
        <v>8</v>
      </c>
      <c r="D12" s="1">
        <v>4</v>
      </c>
      <c r="E12" s="3">
        <v>10000</v>
      </c>
      <c r="F12" s="3">
        <v>12907</v>
      </c>
      <c r="G12" s="3">
        <f t="shared" si="0"/>
        <v>70</v>
      </c>
    </row>
    <row r="13" spans="2:7" x14ac:dyDescent="0.25">
      <c r="B13" s="2">
        <v>46064</v>
      </c>
      <c r="C13" s="1" t="s">
        <v>6</v>
      </c>
      <c r="D13" s="1">
        <v>21</v>
      </c>
      <c r="E13" s="3">
        <v>3703959</v>
      </c>
      <c r="F13" s="3">
        <v>30116</v>
      </c>
      <c r="G13" s="3">
        <f t="shared" si="0"/>
        <v>25927.713</v>
      </c>
    </row>
    <row r="14" spans="2:7" x14ac:dyDescent="0.25">
      <c r="B14" s="2">
        <v>46065</v>
      </c>
      <c r="C14" s="1" t="s">
        <v>8</v>
      </c>
      <c r="D14" s="1">
        <v>19</v>
      </c>
      <c r="E14" s="3">
        <v>14092660</v>
      </c>
      <c r="F14" s="3">
        <v>24380</v>
      </c>
      <c r="G14" s="3">
        <f t="shared" si="0"/>
        <v>98648.62</v>
      </c>
    </row>
    <row r="15" spans="2:7" x14ac:dyDescent="0.25">
      <c r="B15" s="2">
        <v>46065</v>
      </c>
      <c r="C15" s="1" t="s">
        <v>12</v>
      </c>
      <c r="D15" s="1">
        <v>5</v>
      </c>
      <c r="E15" s="3">
        <v>729960</v>
      </c>
      <c r="F15" s="3">
        <v>11473</v>
      </c>
      <c r="G15" s="3">
        <f t="shared" si="0"/>
        <v>5109.72</v>
      </c>
    </row>
    <row r="16" spans="2:7" x14ac:dyDescent="0.25">
      <c r="B16" s="2">
        <v>46066</v>
      </c>
      <c r="C16" s="1" t="s">
        <v>8</v>
      </c>
      <c r="D16" s="1">
        <v>12</v>
      </c>
      <c r="E16" s="3">
        <v>3924819</v>
      </c>
      <c r="F16" s="3">
        <v>24009</v>
      </c>
      <c r="G16" s="3">
        <f t="shared" si="0"/>
        <v>27473.733</v>
      </c>
    </row>
    <row r="17" spans="2:7" x14ac:dyDescent="0.25">
      <c r="B17" s="2">
        <v>46071</v>
      </c>
      <c r="C17" s="1" t="s">
        <v>8</v>
      </c>
      <c r="D17" s="1" t="s">
        <v>9</v>
      </c>
      <c r="E17" s="3">
        <v>9845243</v>
      </c>
      <c r="F17" s="3">
        <v>56127</v>
      </c>
      <c r="G17" s="3">
        <f t="shared" si="0"/>
        <v>68916.701000000001</v>
      </c>
    </row>
    <row r="18" spans="2:7" x14ac:dyDescent="0.25">
      <c r="B18" s="2">
        <v>46073</v>
      </c>
      <c r="C18" s="1" t="s">
        <v>6</v>
      </c>
      <c r="D18" s="1">
        <v>35</v>
      </c>
      <c r="E18" s="3">
        <v>11833985</v>
      </c>
      <c r="F18" s="3">
        <v>129092</v>
      </c>
      <c r="G18" s="3">
        <f t="shared" si="0"/>
        <v>82837.895000000004</v>
      </c>
    </row>
    <row r="19" spans="2:7" x14ac:dyDescent="0.25">
      <c r="B19" s="2">
        <v>46073</v>
      </c>
      <c r="C19" s="1" t="s">
        <v>13</v>
      </c>
      <c r="D19" s="1">
        <v>9</v>
      </c>
      <c r="E19" s="3">
        <v>1390153</v>
      </c>
      <c r="F19" s="3">
        <v>21511</v>
      </c>
      <c r="G19" s="3">
        <f t="shared" si="0"/>
        <v>9731.0709999999999</v>
      </c>
    </row>
    <row r="20" spans="2:7" x14ac:dyDescent="0.25">
      <c r="B20" s="2">
        <v>46073</v>
      </c>
      <c r="C20" s="1" t="s">
        <v>14</v>
      </c>
      <c r="D20" s="1">
        <v>4</v>
      </c>
      <c r="E20" s="3">
        <v>440861</v>
      </c>
      <c r="F20" s="3">
        <v>12907</v>
      </c>
      <c r="G20" s="3">
        <f t="shared" si="0"/>
        <v>3086.027</v>
      </c>
    </row>
    <row r="21" spans="2:7" x14ac:dyDescent="0.25">
      <c r="B21" s="2">
        <v>46073</v>
      </c>
      <c r="C21" s="1" t="s">
        <v>15</v>
      </c>
      <c r="D21" s="1">
        <v>12</v>
      </c>
      <c r="E21" s="3">
        <v>1200000</v>
      </c>
      <c r="F21" s="3">
        <v>21511</v>
      </c>
      <c r="G21" s="3">
        <f t="shared" si="0"/>
        <v>8400</v>
      </c>
    </row>
    <row r="22" spans="2:7" x14ac:dyDescent="0.25">
      <c r="B22" s="2">
        <v>46076</v>
      </c>
      <c r="C22" s="1" t="s">
        <v>16</v>
      </c>
      <c r="D22" s="1">
        <v>1</v>
      </c>
      <c r="E22" s="3">
        <v>883537</v>
      </c>
      <c r="F22" s="3">
        <v>8605</v>
      </c>
      <c r="G22" s="3">
        <f t="shared" si="0"/>
        <v>6184.759</v>
      </c>
    </row>
    <row r="23" spans="2:7" x14ac:dyDescent="0.25">
      <c r="B23" s="2">
        <v>46077</v>
      </c>
      <c r="C23" s="1" t="s">
        <v>17</v>
      </c>
      <c r="D23" s="1">
        <v>1</v>
      </c>
      <c r="E23" s="3">
        <v>620051</v>
      </c>
      <c r="F23" s="3">
        <v>10039</v>
      </c>
      <c r="G23" s="3">
        <f t="shared" si="0"/>
        <v>4340.357</v>
      </c>
    </row>
    <row r="24" spans="2:7" x14ac:dyDescent="0.25">
      <c r="B24" s="2">
        <v>46079</v>
      </c>
      <c r="C24" s="1" t="s">
        <v>8</v>
      </c>
      <c r="D24" s="1" t="s">
        <v>18</v>
      </c>
      <c r="E24" s="3">
        <v>22379918</v>
      </c>
      <c r="F24" s="3">
        <v>89803.199999999997</v>
      </c>
      <c r="G24" s="3">
        <f t="shared" si="0"/>
        <v>156659.42600000001</v>
      </c>
    </row>
    <row r="25" spans="2:7" x14ac:dyDescent="0.25">
      <c r="E25" s="5">
        <f>SUM(E5:E24)</f>
        <v>111499995</v>
      </c>
      <c r="F25" s="5">
        <f t="shared" ref="F25:G25" si="1">SUM(F5:F24)</f>
        <v>776947.19999999995</v>
      </c>
      <c r="G25" s="5">
        <f t="shared" si="1"/>
        <v>780499.96499999985</v>
      </c>
    </row>
  </sheetData>
  <mergeCells count="1"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7"/>
  <sheetViews>
    <sheetView workbookViewId="0">
      <selection activeCell="C9" sqref="C9:D10"/>
    </sheetView>
  </sheetViews>
  <sheetFormatPr baseColWidth="10" defaultRowHeight="15" x14ac:dyDescent="0.25"/>
  <cols>
    <col min="4" max="4" width="16.7109375" bestFit="1" customWidth="1"/>
    <col min="5" max="5" width="14.5703125" bestFit="1" customWidth="1"/>
    <col min="6" max="6" width="18.28515625" bestFit="1" customWidth="1"/>
    <col min="8" max="8" width="18.28515625" bestFit="1" customWidth="1"/>
  </cols>
  <sheetData>
    <row r="5" spans="3:8" x14ac:dyDescent="0.25">
      <c r="C5" s="9" t="s">
        <v>34</v>
      </c>
      <c r="D5" s="9" t="s">
        <v>2</v>
      </c>
      <c r="E5" s="9" t="s">
        <v>3</v>
      </c>
      <c r="F5" s="9" t="s">
        <v>7</v>
      </c>
    </row>
    <row r="6" spans="3:8" x14ac:dyDescent="0.25">
      <c r="C6" s="10">
        <v>45931</v>
      </c>
      <c r="D6" s="8">
        <f>+OCTUBRE!F34</f>
        <v>776827.71000000008</v>
      </c>
      <c r="E6" s="8">
        <f>+OCTUBRE!G34</f>
        <v>687679.12499999988</v>
      </c>
      <c r="F6" s="8">
        <f>+OCTUBRE!E34</f>
        <v>98239875</v>
      </c>
    </row>
    <row r="7" spans="3:8" x14ac:dyDescent="0.25">
      <c r="C7" s="10">
        <v>45962</v>
      </c>
      <c r="D7" s="8">
        <f>+NOVIEMBRE!F30</f>
        <v>1388407.6099999999</v>
      </c>
      <c r="E7" s="8">
        <f>+NOVIEMBRE!G30</f>
        <v>834245.28110000002</v>
      </c>
      <c r="F7" s="8">
        <f>+NOVIEMBRE!E30</f>
        <v>119177897.3</v>
      </c>
    </row>
    <row r="8" spans="3:8" x14ac:dyDescent="0.25">
      <c r="C8" s="10">
        <v>45992</v>
      </c>
      <c r="D8" s="8">
        <f>+DICIEMBRE!F29</f>
        <v>714961.8</v>
      </c>
      <c r="E8" s="8">
        <f>+DICIEMBRE!G29</f>
        <v>602461.70600000001</v>
      </c>
      <c r="F8" s="8">
        <f>+DICIEMBRE!E29</f>
        <v>86065958</v>
      </c>
    </row>
    <row r="9" spans="3:8" x14ac:dyDescent="0.25">
      <c r="C9" s="10">
        <v>46023</v>
      </c>
      <c r="D9" s="8">
        <f>+ENERO!F25</f>
        <v>724758.41</v>
      </c>
      <c r="E9" s="8">
        <f>+ENERO!G25</f>
        <v>336652.23900000006</v>
      </c>
      <c r="F9" s="8">
        <f>+ENERO!E25</f>
        <v>48093177</v>
      </c>
    </row>
    <row r="10" spans="3:8" x14ac:dyDescent="0.25">
      <c r="C10" s="10">
        <v>46054</v>
      </c>
      <c r="D10" s="8">
        <f>+FEBRERO!F25</f>
        <v>776947.19999999995</v>
      </c>
      <c r="E10" s="8">
        <f>+FEBRERO!G25</f>
        <v>780499.96499999985</v>
      </c>
      <c r="F10" s="8">
        <f>+FEBRERO!E25</f>
        <v>111499995</v>
      </c>
    </row>
    <row r="11" spans="3:8" x14ac:dyDescent="0.25">
      <c r="C11" s="10"/>
      <c r="D11" s="8"/>
      <c r="E11" s="8"/>
      <c r="F11" s="8"/>
    </row>
    <row r="12" spans="3:8" x14ac:dyDescent="0.25">
      <c r="C12" s="10"/>
      <c r="D12" s="8"/>
      <c r="E12" s="8"/>
      <c r="F12" s="8"/>
    </row>
    <row r="13" spans="3:8" x14ac:dyDescent="0.25">
      <c r="C13" s="9" t="s">
        <v>35</v>
      </c>
      <c r="D13" s="11">
        <f t="shared" ref="D13" si="0">SUM(D6:D10)</f>
        <v>4381902.7300000004</v>
      </c>
      <c r="E13" s="11">
        <f>SUM(E6:E10)</f>
        <v>3241538.3160999995</v>
      </c>
      <c r="F13" s="11">
        <f t="shared" ref="F13" si="1">SUM(F6:F10)</f>
        <v>463076902.30000001</v>
      </c>
      <c r="H13" s="12">
        <f>+F13/5*12</f>
        <v>1111384565.52</v>
      </c>
    </row>
    <row r="14" spans="3:8" x14ac:dyDescent="0.25">
      <c r="F14" s="7">
        <f>+E13/F13</f>
        <v>6.9999999999999984E-3</v>
      </c>
    </row>
    <row r="15" spans="3:8" x14ac:dyDescent="0.25">
      <c r="D15" s="5">
        <f>+D13+E13</f>
        <v>7623441.0460999999</v>
      </c>
    </row>
    <row r="16" spans="3:8" x14ac:dyDescent="0.25">
      <c r="D16" s="6">
        <f>+E13/D15</f>
        <v>0.42520671393639303</v>
      </c>
    </row>
    <row r="17" spans="6:6" x14ac:dyDescent="0.25">
      <c r="F17">
        <f>+E13/5*12</f>
        <v>7779691.958639998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OCTUBRE</vt:lpstr>
      <vt:lpstr>NOVIEMBRE</vt:lpstr>
      <vt:lpstr>DICIEMBRE</vt:lpstr>
      <vt:lpstr>ENERO</vt:lpstr>
      <vt:lpstr>FEBRERO</vt:lpstr>
      <vt:lpstr>MARZO</vt:lpstr>
      <vt:lpstr>TOTALES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jorgecayolo@azuldemonta.com.ar</dc:creator>
  <cp:lastModifiedBy>pc</cp:lastModifiedBy>
  <dcterms:created xsi:type="dcterms:W3CDTF">2026-03-06T14:09:31Z</dcterms:created>
  <dcterms:modified xsi:type="dcterms:W3CDTF">2026-04-27T15:29:54Z</dcterms:modified>
</cp:coreProperties>
</file>